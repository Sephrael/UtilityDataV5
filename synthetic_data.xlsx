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ir4man/Downloads/Dad Utility Project/UtilityDataReport/data/"/>
    </mc:Choice>
  </mc:AlternateContent>
  <xr:revisionPtr revIDLastSave="0" documentId="13_ncr:1_{118815C7-B79A-FA4E-8B46-57C6A8B09F05}" xr6:coauthVersionLast="47" xr6:coauthVersionMax="47" xr10:uidLastSave="{00000000-0000-0000-0000-000000000000}"/>
  <bookViews>
    <workbookView xWindow="0" yWindow="680" windowWidth="30240" windowHeight="17160" xr2:uid="{E99CE6BD-B213-CF44-BE15-B6D21FE6CFA3}"/>
  </bookViews>
  <sheets>
    <sheet name="Sheet1" sheetId="1" r:id="rId1"/>
  </sheets>
  <definedNames>
    <definedName name="_xlnm._FilterDatabase" localSheetId="0" hidden="1">Sheet1!$D$1:$D$97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1" l="1"/>
  <c r="G34" i="1"/>
  <c r="G35" i="1"/>
  <c r="G37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6" i="1"/>
  <c r="G32" i="1"/>
  <c r="G26" i="1"/>
  <c r="G27" i="1" l="1"/>
  <c r="G28" i="1" l="1"/>
  <c r="G29" i="1" l="1"/>
  <c r="G31" i="1" l="1"/>
  <c r="G30" i="1"/>
</calcChain>
</file>

<file path=xl/sharedStrings.xml><?xml version="1.0" encoding="utf-8"?>
<sst xmlns="http://schemas.openxmlformats.org/spreadsheetml/2006/main" count="296" uniqueCount="27">
  <si>
    <t>Account</t>
  </si>
  <si>
    <t>Service Address</t>
  </si>
  <si>
    <t>Mailing Address</t>
  </si>
  <si>
    <t>Billing Period</t>
  </si>
  <si>
    <t>350 College Ave</t>
  </si>
  <si>
    <t>Adrienne Pierce, c/o James Fisk, 354 College Ave, Palo Alto, CA 94306</t>
  </si>
  <si>
    <t>361 College Ave</t>
  </si>
  <si>
    <t>789 Northampton Dr</t>
  </si>
  <si>
    <t>Jinxia Chen, c/o Tingxun Wei, 789 Northampton Dr, Palo Alto, CA 94303</t>
  </si>
  <si>
    <t>25 Waverly Pl</t>
  </si>
  <si>
    <t>Ethan Hall, c/o Shira Melbourne, 125 UNIVERSITY AVE STE GARDEN, PALO ALTO, CA 94301</t>
  </si>
  <si>
    <t>20 Cooper Square</t>
  </si>
  <si>
    <t>Jennifer Angleton, c/o Melrose Parks, 620 SAND HILL RD APT 422F, PALO ALTO, CA 94304</t>
  </si>
  <si>
    <t>70 Washington Square South</t>
  </si>
  <si>
    <t>Sean Germble, c/o Phyllis Hwang, 185 FOREST AVE APT 2A, PALO ALTO, CA 94301</t>
  </si>
  <si>
    <t>345 E 24th St</t>
  </si>
  <si>
    <t>Salina Gomies, c/o Fintsal Wing, 3801 GROVE AVE, PALO ALTO, CA 94303</t>
  </si>
  <si>
    <t>Net_Gen_Consumption</t>
  </si>
  <si>
    <t>Annual_Net_Surplus</t>
  </si>
  <si>
    <t>Net_Surplus_Cash_Value</t>
  </si>
  <si>
    <t>Settlement Month</t>
  </si>
  <si>
    <t>March</t>
  </si>
  <si>
    <t>October</t>
  </si>
  <si>
    <t>June</t>
  </si>
  <si>
    <t>September</t>
  </si>
  <si>
    <t>December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</si>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</sst>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"/>
  </numFmts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 wrapText="1"/>
    </xf>
    <xf numFmtId="2" fontId="0" fillId="0" borderId="0" xfId="0" applyNumberFormat="1"/>
    <xf numFmtId="2" fontId="0" fillId="0" borderId="0" xfId="0" applyNumberFormat="1" applyAlignment="1">
      <alignment horizontal="center" vertical="center"/>
    </xf>
    <xf numFmtId="168" fontId="0" fillId="0" borderId="0" xfId="0" applyNumberFormat="1"/>
    <xf numFmtId="168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B3C46-A6F2-8243-866F-1F4FEC5101CA}">
  <dimension ref="A1:H97"/>
  <sheetViews>
    <sheetView tabSelected="1" workbookViewId="0">
      <selection activeCell="D2" sqref="D2"/>
    </sheetView>
  </sheetViews>
  <sheetFormatPr baseColWidth="10" defaultRowHeight="16" x14ac:dyDescent="0.2"/>
  <cols>
    <col min="1" max="1" width="10.33203125" style="1" customWidth="1"/>
    <col min="2" max="2" width="29.6640625" style="1" customWidth="1"/>
    <col min="3" max="3" width="83.5" style="1" customWidth="1"/>
    <col min="4" max="4" width="12.6640625" style="7" customWidth="1"/>
    <col min="5" max="5" width="19" style="2" customWidth="1"/>
    <col min="6" max="6" width="13" style="2" customWidth="1"/>
    <col min="7" max="7" width="23.5" style="5" customWidth="1"/>
  </cols>
  <sheetData>
    <row r="1" spans="1:8" x14ac:dyDescent="0.2">
      <c r="A1" t="s">
        <v>0</v>
      </c>
      <c r="B1" t="s">
        <v>1</v>
      </c>
      <c r="C1" t="s">
        <v>2</v>
      </c>
      <c r="D1" s="6" t="s">
        <v>3</v>
      </c>
      <c r="E1" t="s">
        <v>17</v>
      </c>
      <c r="F1" t="s">
        <v>18</v>
      </c>
      <c r="G1" s="4" t="s">
        <v>19</v>
      </c>
      <c r="H1" t="s">
        <v>20</v>
      </c>
    </row>
    <row r="2" spans="1:8" x14ac:dyDescent="0.2">
      <c r="A2" s="1">
        <v>30075998</v>
      </c>
      <c r="B2" s="1" t="s">
        <v>4</v>
      </c>
      <c r="C2" s="1" t="s">
        <v>5</v>
      </c>
      <c r="D2" s="7">
        <v>44927</v>
      </c>
      <c r="E2" s="2">
        <v>247</v>
      </c>
      <c r="F2" s="2">
        <v>-315</v>
      </c>
      <c r="G2" s="5">
        <v>0</v>
      </c>
      <c r="H2" t="s">
        <v>21</v>
      </c>
    </row>
    <row r="3" spans="1:8" x14ac:dyDescent="0.2">
      <c r="A3" s="1">
        <v>30075998</v>
      </c>
      <c r="B3" s="1" t="s">
        <v>4</v>
      </c>
      <c r="C3" s="1" t="s">
        <v>5</v>
      </c>
      <c r="D3" s="7">
        <v>44958</v>
      </c>
      <c r="E3" s="2">
        <v>318</v>
      </c>
      <c r="F3" s="2">
        <v>-633</v>
      </c>
      <c r="G3" s="5">
        <v>0</v>
      </c>
      <c r="H3" t="s">
        <v>21</v>
      </c>
    </row>
    <row r="4" spans="1:8" x14ac:dyDescent="0.2">
      <c r="A4" s="1">
        <v>30075998</v>
      </c>
      <c r="B4" s="1" t="s">
        <v>4</v>
      </c>
      <c r="C4" s="1" t="s">
        <v>5</v>
      </c>
      <c r="D4" s="7">
        <v>44986</v>
      </c>
      <c r="E4" s="2">
        <v>165</v>
      </c>
      <c r="F4" s="2">
        <v>-798</v>
      </c>
      <c r="G4" s="5">
        <v>0</v>
      </c>
      <c r="H4" t="s">
        <v>21</v>
      </c>
    </row>
    <row r="5" spans="1:8" x14ac:dyDescent="0.2">
      <c r="A5" s="1">
        <v>30075998</v>
      </c>
      <c r="B5" s="1" t="s">
        <v>4</v>
      </c>
      <c r="C5" s="1" t="s">
        <v>5</v>
      </c>
      <c r="D5" s="7">
        <v>45017</v>
      </c>
      <c r="E5" s="2">
        <v>-157</v>
      </c>
      <c r="F5" s="2">
        <v>157</v>
      </c>
      <c r="G5" s="5">
        <v>16.11</v>
      </c>
      <c r="H5" t="s">
        <v>21</v>
      </c>
    </row>
    <row r="6" spans="1:8" x14ac:dyDescent="0.2">
      <c r="A6" s="1">
        <v>30075998</v>
      </c>
      <c r="B6" s="1" t="s">
        <v>4</v>
      </c>
      <c r="C6" s="1" t="s">
        <v>5</v>
      </c>
      <c r="D6" s="7">
        <v>45047</v>
      </c>
      <c r="E6" s="2">
        <v>-154</v>
      </c>
      <c r="F6" s="2">
        <v>311</v>
      </c>
      <c r="G6" s="5">
        <v>31.91</v>
      </c>
      <c r="H6" t="s">
        <v>21</v>
      </c>
    </row>
    <row r="7" spans="1:8" x14ac:dyDescent="0.2">
      <c r="A7" s="1">
        <v>30075998</v>
      </c>
      <c r="B7" s="1" t="s">
        <v>4</v>
      </c>
      <c r="C7" s="1" t="s">
        <v>5</v>
      </c>
      <c r="D7" s="7">
        <v>45078</v>
      </c>
      <c r="E7" s="2">
        <v>-149</v>
      </c>
      <c r="F7" s="2">
        <v>460</v>
      </c>
      <c r="G7" s="5">
        <v>47.2</v>
      </c>
      <c r="H7" t="s">
        <v>21</v>
      </c>
    </row>
    <row r="8" spans="1:8" x14ac:dyDescent="0.2">
      <c r="A8" s="1">
        <v>30075998</v>
      </c>
      <c r="B8" s="1" t="s">
        <v>4</v>
      </c>
      <c r="C8" s="1" t="s">
        <v>5</v>
      </c>
      <c r="D8" s="7">
        <v>45108</v>
      </c>
      <c r="E8" s="2">
        <v>-331</v>
      </c>
      <c r="F8" s="2">
        <v>791</v>
      </c>
      <c r="G8" s="5">
        <v>121.42</v>
      </c>
      <c r="H8" t="s">
        <v>21</v>
      </c>
    </row>
    <row r="9" spans="1:8" x14ac:dyDescent="0.2">
      <c r="A9" s="1">
        <v>30075998</v>
      </c>
      <c r="B9" s="1" t="s">
        <v>4</v>
      </c>
      <c r="C9" s="1" t="s">
        <v>5</v>
      </c>
      <c r="D9" s="7">
        <v>45139</v>
      </c>
      <c r="E9" s="2">
        <v>-110</v>
      </c>
      <c r="F9" s="2">
        <v>901</v>
      </c>
      <c r="G9" s="5">
        <v>138.30000000000001</v>
      </c>
      <c r="H9" t="s">
        <v>21</v>
      </c>
    </row>
    <row r="10" spans="1:8" x14ac:dyDescent="0.2">
      <c r="A10" s="1">
        <v>30075998</v>
      </c>
      <c r="B10" s="1" t="s">
        <v>4</v>
      </c>
      <c r="C10" s="1" t="s">
        <v>5</v>
      </c>
      <c r="D10" s="7">
        <v>45170</v>
      </c>
      <c r="E10" s="2">
        <v>-70</v>
      </c>
      <c r="F10" s="2">
        <v>971</v>
      </c>
      <c r="G10" s="5">
        <v>149.05000000000001</v>
      </c>
      <c r="H10" t="s">
        <v>21</v>
      </c>
    </row>
    <row r="11" spans="1:8" x14ac:dyDescent="0.2">
      <c r="A11" s="1">
        <v>30075998</v>
      </c>
      <c r="B11" s="1" t="s">
        <v>4</v>
      </c>
      <c r="C11" s="1" t="s">
        <v>5</v>
      </c>
      <c r="D11" s="7">
        <v>45200</v>
      </c>
      <c r="E11" s="2">
        <v>59</v>
      </c>
      <c r="F11" s="2">
        <v>912</v>
      </c>
      <c r="G11" s="5">
        <v>139.99</v>
      </c>
      <c r="H11" t="s">
        <v>21</v>
      </c>
    </row>
    <row r="12" spans="1:8" x14ac:dyDescent="0.2">
      <c r="A12" s="1">
        <v>30075998</v>
      </c>
      <c r="B12" s="1" t="s">
        <v>4</v>
      </c>
      <c r="C12" s="1" t="s">
        <v>5</v>
      </c>
      <c r="D12" s="7">
        <v>45231</v>
      </c>
      <c r="E12" s="2">
        <v>139</v>
      </c>
      <c r="F12" s="2">
        <v>773</v>
      </c>
      <c r="G12" s="5">
        <v>118.66</v>
      </c>
      <c r="H12" t="s">
        <v>21</v>
      </c>
    </row>
    <row r="13" spans="1:8" x14ac:dyDescent="0.2">
      <c r="A13" s="1">
        <v>30075998</v>
      </c>
      <c r="B13" s="1" t="s">
        <v>6</v>
      </c>
      <c r="C13" s="1" t="s">
        <v>5</v>
      </c>
      <c r="D13" s="7">
        <v>45261</v>
      </c>
      <c r="E13" s="2">
        <v>225</v>
      </c>
      <c r="F13" s="2">
        <v>548</v>
      </c>
      <c r="G13" s="5">
        <v>84.12</v>
      </c>
      <c r="H13" t="s">
        <v>21</v>
      </c>
    </row>
    <row r="14" spans="1:8" x14ac:dyDescent="0.2">
      <c r="A14" s="1">
        <v>30090207</v>
      </c>
      <c r="B14" s="1" t="s">
        <v>7</v>
      </c>
      <c r="C14" s="1" t="s">
        <v>8</v>
      </c>
      <c r="D14" s="7">
        <v>44927</v>
      </c>
      <c r="E14" s="2">
        <v>673</v>
      </c>
      <c r="F14" s="2">
        <v>-1506</v>
      </c>
      <c r="G14" s="5">
        <v>0</v>
      </c>
      <c r="H14" t="s">
        <v>22</v>
      </c>
    </row>
    <row r="15" spans="1:8" x14ac:dyDescent="0.2">
      <c r="A15" s="1">
        <v>30090207</v>
      </c>
      <c r="B15" s="1" t="s">
        <v>7</v>
      </c>
      <c r="C15" s="1" t="s">
        <v>8</v>
      </c>
      <c r="D15" s="7">
        <v>44958</v>
      </c>
      <c r="E15" s="2">
        <v>76</v>
      </c>
      <c r="F15" s="2">
        <v>-1582</v>
      </c>
      <c r="G15" s="5">
        <v>0</v>
      </c>
      <c r="H15" t="s">
        <v>22</v>
      </c>
    </row>
    <row r="16" spans="1:8" x14ac:dyDescent="0.2">
      <c r="A16" s="1">
        <v>30090207</v>
      </c>
      <c r="B16" s="1" t="s">
        <v>7</v>
      </c>
      <c r="C16" s="1" t="s">
        <v>8</v>
      </c>
      <c r="D16" s="7">
        <v>44986</v>
      </c>
      <c r="E16" s="2">
        <v>-22</v>
      </c>
      <c r="F16" s="2">
        <v>-1560</v>
      </c>
      <c r="G16" s="5">
        <v>0</v>
      </c>
      <c r="H16" t="s">
        <v>22</v>
      </c>
    </row>
    <row r="17" spans="1:8" x14ac:dyDescent="0.2">
      <c r="A17" s="1">
        <v>30090207</v>
      </c>
      <c r="B17" s="1" t="s">
        <v>7</v>
      </c>
      <c r="C17" s="1" t="s">
        <v>8</v>
      </c>
      <c r="D17" s="7">
        <v>45017</v>
      </c>
      <c r="E17" s="2">
        <v>-619</v>
      </c>
      <c r="F17" s="2">
        <v>-941</v>
      </c>
      <c r="G17" s="5">
        <v>0</v>
      </c>
      <c r="H17" t="s">
        <v>22</v>
      </c>
    </row>
    <row r="18" spans="1:8" x14ac:dyDescent="0.2">
      <c r="A18" s="1">
        <v>30090207</v>
      </c>
      <c r="B18" s="1" t="s">
        <v>7</v>
      </c>
      <c r="C18" s="1" t="s">
        <v>8</v>
      </c>
      <c r="D18" s="7">
        <v>45047</v>
      </c>
      <c r="E18" s="2">
        <v>-672</v>
      </c>
      <c r="F18" s="2">
        <v>-269</v>
      </c>
      <c r="G18" s="5">
        <v>0</v>
      </c>
      <c r="H18" t="s">
        <v>22</v>
      </c>
    </row>
    <row r="19" spans="1:8" x14ac:dyDescent="0.2">
      <c r="A19" s="1">
        <v>30090207</v>
      </c>
      <c r="B19" s="1" t="s">
        <v>7</v>
      </c>
      <c r="C19" s="1" t="s">
        <v>8</v>
      </c>
      <c r="D19" s="7">
        <v>45078</v>
      </c>
      <c r="E19" s="2">
        <v>-837</v>
      </c>
      <c r="F19" s="2">
        <v>568</v>
      </c>
      <c r="G19" s="5">
        <v>58.28</v>
      </c>
      <c r="H19" t="s">
        <v>22</v>
      </c>
    </row>
    <row r="20" spans="1:8" x14ac:dyDescent="0.2">
      <c r="A20" s="1">
        <v>30090207</v>
      </c>
      <c r="B20" s="1" t="s">
        <v>7</v>
      </c>
      <c r="C20" s="1" t="s">
        <v>8</v>
      </c>
      <c r="D20" s="7">
        <v>45108</v>
      </c>
      <c r="E20" s="2">
        <v>-904</v>
      </c>
      <c r="F20" s="2">
        <v>1472</v>
      </c>
      <c r="G20" s="5">
        <v>225.95</v>
      </c>
      <c r="H20" t="s">
        <v>22</v>
      </c>
    </row>
    <row r="21" spans="1:8" x14ac:dyDescent="0.2">
      <c r="A21" s="1">
        <v>30090207</v>
      </c>
      <c r="B21" s="1" t="s">
        <v>7</v>
      </c>
      <c r="C21" s="1" t="s">
        <v>8</v>
      </c>
      <c r="D21" s="7">
        <v>45139</v>
      </c>
      <c r="E21" s="2">
        <v>-596</v>
      </c>
      <c r="F21" s="2">
        <v>2068</v>
      </c>
      <c r="G21" s="5">
        <v>317.44</v>
      </c>
      <c r="H21" t="s">
        <v>22</v>
      </c>
    </row>
    <row r="22" spans="1:8" x14ac:dyDescent="0.2">
      <c r="A22" s="1">
        <v>30090207</v>
      </c>
      <c r="B22" s="1" t="s">
        <v>7</v>
      </c>
      <c r="C22" s="1" t="s">
        <v>8</v>
      </c>
      <c r="D22" s="7">
        <v>45170</v>
      </c>
      <c r="E22" s="2">
        <v>-537</v>
      </c>
      <c r="F22" s="2">
        <v>2605</v>
      </c>
      <c r="G22" s="5">
        <v>399.44</v>
      </c>
      <c r="H22" t="s">
        <v>22</v>
      </c>
    </row>
    <row r="23" spans="1:8" x14ac:dyDescent="0.2">
      <c r="A23" s="1">
        <v>30090207</v>
      </c>
      <c r="B23" s="1" t="s">
        <v>7</v>
      </c>
      <c r="C23" s="1" t="s">
        <v>8</v>
      </c>
      <c r="D23" s="7">
        <v>45200</v>
      </c>
      <c r="E23" s="2">
        <v>-197</v>
      </c>
      <c r="F23" s="2">
        <v>2802</v>
      </c>
      <c r="G23" s="5">
        <v>430.11</v>
      </c>
      <c r="H23" t="s">
        <v>22</v>
      </c>
    </row>
    <row r="24" spans="1:8" x14ac:dyDescent="0.2">
      <c r="A24" s="1">
        <v>30090207</v>
      </c>
      <c r="B24" s="1" t="s">
        <v>7</v>
      </c>
      <c r="C24" s="1" t="s">
        <v>8</v>
      </c>
      <c r="D24" s="7">
        <v>45231</v>
      </c>
      <c r="E24" s="2">
        <v>110</v>
      </c>
      <c r="F24" s="2">
        <v>-110</v>
      </c>
      <c r="G24" s="5">
        <v>0</v>
      </c>
      <c r="H24" t="s">
        <v>22</v>
      </c>
    </row>
    <row r="25" spans="1:8" x14ac:dyDescent="0.2">
      <c r="A25" s="1">
        <v>30090207</v>
      </c>
      <c r="B25" s="1" t="s">
        <v>7</v>
      </c>
      <c r="C25" s="1" t="s">
        <v>8</v>
      </c>
      <c r="D25" s="7">
        <v>45261</v>
      </c>
      <c r="E25" s="2">
        <v>383</v>
      </c>
      <c r="F25" s="2">
        <v>-493</v>
      </c>
      <c r="G25" s="5">
        <v>0</v>
      </c>
      <c r="H25" t="s">
        <v>22</v>
      </c>
    </row>
    <row r="26" spans="1:8" ht="17" x14ac:dyDescent="0.2">
      <c r="A26" s="1">
        <v>30045535</v>
      </c>
      <c r="B26" t="s">
        <v>9</v>
      </c>
      <c r="C26" s="3" t="s">
        <v>10</v>
      </c>
      <c r="D26" s="7">
        <v>44927</v>
      </c>
      <c r="E26" s="2">
        <v>232</v>
      </c>
      <c r="F26" s="2">
        <v>-500</v>
      </c>
      <c r="G26" s="5">
        <f>IF(F26&lt;=0, 0, IF(MONTH(D26)&lt;=6, F26*0.1026, F26*0.1535))</f>
        <v>0</v>
      </c>
      <c r="H26" t="s">
        <v>23</v>
      </c>
    </row>
    <row r="27" spans="1:8" ht="17" x14ac:dyDescent="0.2">
      <c r="A27" s="1">
        <v>30045535</v>
      </c>
      <c r="B27" t="s">
        <v>9</v>
      </c>
      <c r="C27" s="3" t="s">
        <v>10</v>
      </c>
      <c r="D27" s="7">
        <v>44958</v>
      </c>
      <c r="E27" s="2">
        <v>308</v>
      </c>
      <c r="F27" s="2">
        <v>-808</v>
      </c>
      <c r="G27" s="5">
        <f t="shared" ref="G27:G73" si="0">IF(F27&lt;=0, 0, IF(MONTH(D27)&lt;=6, F27*0.1026, F27*0.1535))</f>
        <v>0</v>
      </c>
      <c r="H27" t="s">
        <v>23</v>
      </c>
    </row>
    <row r="28" spans="1:8" ht="17" x14ac:dyDescent="0.2">
      <c r="A28" s="1">
        <v>30045535</v>
      </c>
      <c r="B28" t="s">
        <v>9</v>
      </c>
      <c r="C28" s="3" t="s">
        <v>10</v>
      </c>
      <c r="D28" s="7">
        <v>44986</v>
      </c>
      <c r="E28" s="2">
        <v>174</v>
      </c>
      <c r="F28" s="2">
        <v>-982</v>
      </c>
      <c r="G28" s="5">
        <f t="shared" si="0"/>
        <v>0</v>
      </c>
      <c r="H28" t="s">
        <v>23</v>
      </c>
    </row>
    <row r="29" spans="1:8" ht="17" x14ac:dyDescent="0.2">
      <c r="A29" s="1">
        <v>30045535</v>
      </c>
      <c r="B29" t="s">
        <v>9</v>
      </c>
      <c r="C29" s="3" t="s">
        <v>10</v>
      </c>
      <c r="D29" s="7">
        <v>45017</v>
      </c>
      <c r="E29" s="2">
        <v>-174</v>
      </c>
      <c r="F29" s="2">
        <v>-808</v>
      </c>
      <c r="G29" s="5">
        <f t="shared" si="0"/>
        <v>0</v>
      </c>
      <c r="H29" t="s">
        <v>23</v>
      </c>
    </row>
    <row r="30" spans="1:8" ht="17" x14ac:dyDescent="0.2">
      <c r="A30" s="1">
        <v>30045535</v>
      </c>
      <c r="B30" t="s">
        <v>9</v>
      </c>
      <c r="C30" s="3" t="s">
        <v>10</v>
      </c>
      <c r="D30" s="7">
        <v>45047</v>
      </c>
      <c r="E30" s="2">
        <v>-193</v>
      </c>
      <c r="F30" s="2">
        <v>-615</v>
      </c>
      <c r="G30" s="5">
        <f t="shared" si="0"/>
        <v>0</v>
      </c>
      <c r="H30" t="s">
        <v>23</v>
      </c>
    </row>
    <row r="31" spans="1:8" ht="17" x14ac:dyDescent="0.2">
      <c r="A31" s="1">
        <v>30045535</v>
      </c>
      <c r="B31" t="s">
        <v>9</v>
      </c>
      <c r="C31" s="3" t="s">
        <v>10</v>
      </c>
      <c r="D31" s="7">
        <v>45078</v>
      </c>
      <c r="E31" s="2">
        <v>-176</v>
      </c>
      <c r="F31" s="2">
        <v>-439</v>
      </c>
      <c r="G31" s="5">
        <f t="shared" si="0"/>
        <v>0</v>
      </c>
      <c r="H31" t="s">
        <v>23</v>
      </c>
    </row>
    <row r="32" spans="1:8" ht="17" x14ac:dyDescent="0.2">
      <c r="A32" s="1">
        <v>30045535</v>
      </c>
      <c r="B32" t="s">
        <v>9</v>
      </c>
      <c r="C32" s="3" t="s">
        <v>10</v>
      </c>
      <c r="D32" s="7">
        <v>45108</v>
      </c>
      <c r="E32" s="2">
        <v>-301</v>
      </c>
      <c r="F32" s="2">
        <v>301</v>
      </c>
      <c r="G32" s="5">
        <f t="shared" si="0"/>
        <v>46.203499999999998</v>
      </c>
      <c r="H32" t="s">
        <v>23</v>
      </c>
    </row>
    <row r="33" spans="1:8" ht="17" x14ac:dyDescent="0.2">
      <c r="A33" s="1">
        <v>30045535</v>
      </c>
      <c r="B33" t="s">
        <v>9</v>
      </c>
      <c r="C33" s="3" t="s">
        <v>10</v>
      </c>
      <c r="D33" s="7">
        <v>45139</v>
      </c>
      <c r="E33" s="2">
        <v>-141</v>
      </c>
      <c r="F33" s="2">
        <v>442</v>
      </c>
      <c r="G33" s="5">
        <f t="shared" si="0"/>
        <v>67.846999999999994</v>
      </c>
      <c r="H33" t="s">
        <v>23</v>
      </c>
    </row>
    <row r="34" spans="1:8" ht="17" x14ac:dyDescent="0.2">
      <c r="A34" s="1">
        <v>30045535</v>
      </c>
      <c r="B34" t="s">
        <v>9</v>
      </c>
      <c r="C34" s="3" t="s">
        <v>10</v>
      </c>
      <c r="D34" s="7">
        <v>45170</v>
      </c>
      <c r="E34" s="2">
        <v>-88</v>
      </c>
      <c r="F34" s="2">
        <v>530</v>
      </c>
      <c r="G34" s="5">
        <f t="shared" si="0"/>
        <v>81.355000000000004</v>
      </c>
      <c r="H34" t="s">
        <v>23</v>
      </c>
    </row>
    <row r="35" spans="1:8" ht="17" x14ac:dyDescent="0.2">
      <c r="A35" s="1">
        <v>30045535</v>
      </c>
      <c r="B35" t="s">
        <v>9</v>
      </c>
      <c r="C35" s="3" t="s">
        <v>10</v>
      </c>
      <c r="D35" s="7">
        <v>45200</v>
      </c>
      <c r="E35" s="2">
        <v>76</v>
      </c>
      <c r="F35" s="2">
        <v>454</v>
      </c>
      <c r="G35" s="5">
        <f t="shared" si="0"/>
        <v>69.688999999999993</v>
      </c>
      <c r="H35" t="s">
        <v>23</v>
      </c>
    </row>
    <row r="36" spans="1:8" ht="17" x14ac:dyDescent="0.2">
      <c r="A36" s="1">
        <v>30045535</v>
      </c>
      <c r="B36" t="s">
        <v>9</v>
      </c>
      <c r="C36" s="3" t="s">
        <v>10</v>
      </c>
      <c r="D36" s="7">
        <v>45231</v>
      </c>
      <c r="E36" s="2">
        <v>89</v>
      </c>
      <c r="F36" s="2">
        <v>365</v>
      </c>
      <c r="G36" s="5">
        <f t="shared" si="0"/>
        <v>56.027499999999996</v>
      </c>
      <c r="H36" t="s">
        <v>23</v>
      </c>
    </row>
    <row r="37" spans="1:8" ht="17" x14ac:dyDescent="0.2">
      <c r="A37" s="1">
        <v>30045535</v>
      </c>
      <c r="B37" t="s">
        <v>9</v>
      </c>
      <c r="C37" s="3" t="s">
        <v>10</v>
      </c>
      <c r="D37" s="7">
        <v>45261</v>
      </c>
      <c r="E37" s="2">
        <v>188</v>
      </c>
      <c r="F37" s="2">
        <v>177</v>
      </c>
      <c r="G37" s="5">
        <f t="shared" si="0"/>
        <v>27.169499999999999</v>
      </c>
      <c r="H37" t="s">
        <v>23</v>
      </c>
    </row>
    <row r="38" spans="1:8" ht="17" x14ac:dyDescent="0.2">
      <c r="A38" s="1">
        <v>30066754</v>
      </c>
      <c r="B38" t="s">
        <v>11</v>
      </c>
      <c r="C38" s="3" t="s">
        <v>12</v>
      </c>
      <c r="D38" s="7">
        <v>44927</v>
      </c>
      <c r="E38" s="2">
        <v>655</v>
      </c>
      <c r="F38" s="2">
        <v>-843</v>
      </c>
      <c r="G38" s="5">
        <f t="shared" si="0"/>
        <v>0</v>
      </c>
      <c r="H38" t="s">
        <v>24</v>
      </c>
    </row>
    <row r="39" spans="1:8" ht="17" x14ac:dyDescent="0.2">
      <c r="A39" s="1">
        <v>30066754</v>
      </c>
      <c r="B39" t="s">
        <v>11</v>
      </c>
      <c r="C39" s="3" t="s">
        <v>12</v>
      </c>
      <c r="D39" s="7">
        <v>44958</v>
      </c>
      <c r="E39" s="2">
        <v>84</v>
      </c>
      <c r="F39" s="2">
        <v>-927</v>
      </c>
      <c r="G39" s="5">
        <f t="shared" si="0"/>
        <v>0</v>
      </c>
      <c r="H39" t="s">
        <v>24</v>
      </c>
    </row>
    <row r="40" spans="1:8" ht="17" x14ac:dyDescent="0.2">
      <c r="A40" s="1">
        <v>30066754</v>
      </c>
      <c r="B40" t="s">
        <v>11</v>
      </c>
      <c r="C40" s="3" t="s">
        <v>12</v>
      </c>
      <c r="D40" s="7">
        <v>44986</v>
      </c>
      <c r="E40" s="2">
        <v>-12</v>
      </c>
      <c r="F40" s="2">
        <v>-915</v>
      </c>
      <c r="G40" s="5">
        <f t="shared" si="0"/>
        <v>0</v>
      </c>
      <c r="H40" t="s">
        <v>24</v>
      </c>
    </row>
    <row r="41" spans="1:8" ht="17" x14ac:dyDescent="0.2">
      <c r="A41" s="1">
        <v>30066754</v>
      </c>
      <c r="B41" t="s">
        <v>11</v>
      </c>
      <c r="C41" s="3" t="s">
        <v>12</v>
      </c>
      <c r="D41" s="7">
        <v>45017</v>
      </c>
      <c r="E41" s="2">
        <v>-664</v>
      </c>
      <c r="F41" s="2">
        <v>-251</v>
      </c>
      <c r="G41" s="5">
        <f t="shared" si="0"/>
        <v>0</v>
      </c>
      <c r="H41" t="s">
        <v>24</v>
      </c>
    </row>
    <row r="42" spans="1:8" ht="17" x14ac:dyDescent="0.2">
      <c r="A42" s="1">
        <v>30066754</v>
      </c>
      <c r="B42" t="s">
        <v>11</v>
      </c>
      <c r="C42" s="3" t="s">
        <v>12</v>
      </c>
      <c r="D42" s="7">
        <v>45047</v>
      </c>
      <c r="E42" s="2">
        <v>-626</v>
      </c>
      <c r="F42" s="2">
        <v>375</v>
      </c>
      <c r="G42" s="5">
        <f t="shared" si="0"/>
        <v>38.475000000000001</v>
      </c>
      <c r="H42" t="s">
        <v>24</v>
      </c>
    </row>
    <row r="43" spans="1:8" ht="17" x14ac:dyDescent="0.2">
      <c r="A43" s="1">
        <v>30066754</v>
      </c>
      <c r="B43" t="s">
        <v>11</v>
      </c>
      <c r="C43" s="3" t="s">
        <v>12</v>
      </c>
      <c r="D43" s="7">
        <v>45078</v>
      </c>
      <c r="E43" s="2">
        <v>-891</v>
      </c>
      <c r="F43" s="2">
        <v>1266</v>
      </c>
      <c r="G43" s="5">
        <f t="shared" si="0"/>
        <v>129.89159999999998</v>
      </c>
      <c r="H43" t="s">
        <v>24</v>
      </c>
    </row>
    <row r="44" spans="1:8" ht="17" x14ac:dyDescent="0.2">
      <c r="A44" s="1">
        <v>30066754</v>
      </c>
      <c r="B44" t="s">
        <v>11</v>
      </c>
      <c r="C44" s="3" t="s">
        <v>12</v>
      </c>
      <c r="D44" s="7">
        <v>45108</v>
      </c>
      <c r="E44" s="2">
        <v>-881</v>
      </c>
      <c r="F44" s="2">
        <v>2147</v>
      </c>
      <c r="G44" s="5">
        <f t="shared" si="0"/>
        <v>329.56450000000001</v>
      </c>
      <c r="H44" t="s">
        <v>24</v>
      </c>
    </row>
    <row r="45" spans="1:8" ht="17" x14ac:dyDescent="0.2">
      <c r="A45" s="1">
        <v>30066754</v>
      </c>
      <c r="B45" t="s">
        <v>11</v>
      </c>
      <c r="C45" s="3" t="s">
        <v>12</v>
      </c>
      <c r="D45" s="7">
        <v>45139</v>
      </c>
      <c r="E45" s="2">
        <v>-613</v>
      </c>
      <c r="F45" s="2">
        <v>2760</v>
      </c>
      <c r="G45" s="5">
        <f t="shared" si="0"/>
        <v>423.65999999999997</v>
      </c>
      <c r="H45" t="s">
        <v>24</v>
      </c>
    </row>
    <row r="46" spans="1:8" ht="17" x14ac:dyDescent="0.2">
      <c r="A46" s="1">
        <v>30066754</v>
      </c>
      <c r="B46" t="s">
        <v>11</v>
      </c>
      <c r="C46" s="3" t="s">
        <v>12</v>
      </c>
      <c r="D46" s="7">
        <v>45170</v>
      </c>
      <c r="E46" s="2">
        <v>-552</v>
      </c>
      <c r="F46" s="2">
        <v>3312</v>
      </c>
      <c r="G46" s="5">
        <f t="shared" si="0"/>
        <v>508.392</v>
      </c>
      <c r="H46" t="s">
        <v>24</v>
      </c>
    </row>
    <row r="47" spans="1:8" ht="17" x14ac:dyDescent="0.2">
      <c r="A47" s="1">
        <v>30066754</v>
      </c>
      <c r="B47" t="s">
        <v>11</v>
      </c>
      <c r="C47" s="3" t="s">
        <v>12</v>
      </c>
      <c r="D47" s="7">
        <v>45200</v>
      </c>
      <c r="E47" s="2">
        <v>-150</v>
      </c>
      <c r="F47" s="2">
        <v>150</v>
      </c>
      <c r="G47" s="5">
        <f t="shared" si="0"/>
        <v>23.024999999999999</v>
      </c>
      <c r="H47" t="s">
        <v>24</v>
      </c>
    </row>
    <row r="48" spans="1:8" ht="17" x14ac:dyDescent="0.2">
      <c r="A48" s="1">
        <v>30066754</v>
      </c>
      <c r="B48" t="s">
        <v>11</v>
      </c>
      <c r="C48" s="3" t="s">
        <v>12</v>
      </c>
      <c r="D48" s="7">
        <v>45231</v>
      </c>
      <c r="E48" s="2">
        <v>135</v>
      </c>
      <c r="F48" s="2">
        <v>15</v>
      </c>
      <c r="G48" s="5">
        <f t="shared" si="0"/>
        <v>2.3024999999999998</v>
      </c>
      <c r="H48" t="s">
        <v>24</v>
      </c>
    </row>
    <row r="49" spans="1:8" ht="17" x14ac:dyDescent="0.2">
      <c r="A49" s="1">
        <v>30066754</v>
      </c>
      <c r="B49" t="s">
        <v>11</v>
      </c>
      <c r="C49" s="3" t="s">
        <v>12</v>
      </c>
      <c r="D49" s="7">
        <v>45261</v>
      </c>
      <c r="E49" s="2">
        <v>354</v>
      </c>
      <c r="F49" s="2">
        <v>-339</v>
      </c>
      <c r="G49" s="5">
        <f t="shared" si="0"/>
        <v>0</v>
      </c>
      <c r="H49" t="s">
        <v>24</v>
      </c>
    </row>
    <row r="50" spans="1:8" ht="17" x14ac:dyDescent="0.2">
      <c r="A50" s="1">
        <v>30056753</v>
      </c>
      <c r="B50" t="s">
        <v>13</v>
      </c>
      <c r="C50" s="3" t="s">
        <v>14</v>
      </c>
      <c r="D50" s="7">
        <v>44927</v>
      </c>
      <c r="E50" s="2">
        <v>276</v>
      </c>
      <c r="F50" s="2">
        <v>-276</v>
      </c>
      <c r="G50" s="5">
        <f t="shared" si="0"/>
        <v>0</v>
      </c>
      <c r="H50" t="s">
        <v>25</v>
      </c>
    </row>
    <row r="51" spans="1:8" ht="17" x14ac:dyDescent="0.2">
      <c r="A51" s="1">
        <v>30056753</v>
      </c>
      <c r="B51" t="s">
        <v>13</v>
      </c>
      <c r="C51" s="3" t="s">
        <v>14</v>
      </c>
      <c r="D51" s="7">
        <v>44958</v>
      </c>
      <c r="E51" s="2">
        <v>301</v>
      </c>
      <c r="F51" s="2">
        <v>-577</v>
      </c>
      <c r="G51" s="5">
        <f t="shared" si="0"/>
        <v>0</v>
      </c>
      <c r="H51" t="s">
        <v>25</v>
      </c>
    </row>
    <row r="52" spans="1:8" ht="17" x14ac:dyDescent="0.2">
      <c r="A52" s="1">
        <v>30056753</v>
      </c>
      <c r="B52" t="s">
        <v>13</v>
      </c>
      <c r="C52" s="3" t="s">
        <v>14</v>
      </c>
      <c r="D52" s="7">
        <v>44986</v>
      </c>
      <c r="E52" s="2">
        <v>157</v>
      </c>
      <c r="F52" s="2">
        <v>-734</v>
      </c>
      <c r="G52" s="5">
        <f t="shared" si="0"/>
        <v>0</v>
      </c>
      <c r="H52" t="s">
        <v>25</v>
      </c>
    </row>
    <row r="53" spans="1:8" ht="17" x14ac:dyDescent="0.2">
      <c r="A53" s="1">
        <v>30056753</v>
      </c>
      <c r="B53" t="s">
        <v>13</v>
      </c>
      <c r="C53" s="3" t="s">
        <v>14</v>
      </c>
      <c r="D53" s="7">
        <v>45017</v>
      </c>
      <c r="E53" s="2">
        <v>-148</v>
      </c>
      <c r="F53" s="2">
        <v>-586</v>
      </c>
      <c r="G53" s="5">
        <f t="shared" si="0"/>
        <v>0</v>
      </c>
      <c r="H53" t="s">
        <v>25</v>
      </c>
    </row>
    <row r="54" spans="1:8" ht="17" x14ac:dyDescent="0.2">
      <c r="A54" s="1">
        <v>30056753</v>
      </c>
      <c r="B54" t="s">
        <v>13</v>
      </c>
      <c r="C54" s="3" t="s">
        <v>14</v>
      </c>
      <c r="D54" s="7">
        <v>45047</v>
      </c>
      <c r="E54" s="2">
        <v>-179</v>
      </c>
      <c r="F54" s="2">
        <v>-407</v>
      </c>
      <c r="G54" s="5">
        <f t="shared" si="0"/>
        <v>0</v>
      </c>
      <c r="H54" t="s">
        <v>25</v>
      </c>
    </row>
    <row r="55" spans="1:8" ht="17" x14ac:dyDescent="0.2">
      <c r="A55" s="1">
        <v>30056753</v>
      </c>
      <c r="B55" t="s">
        <v>13</v>
      </c>
      <c r="C55" s="3" t="s">
        <v>14</v>
      </c>
      <c r="D55" s="7">
        <v>45078</v>
      </c>
      <c r="E55" s="2">
        <v>-173</v>
      </c>
      <c r="F55" s="2">
        <v>-234</v>
      </c>
      <c r="G55" s="5">
        <f t="shared" si="0"/>
        <v>0</v>
      </c>
      <c r="H55" t="s">
        <v>25</v>
      </c>
    </row>
    <row r="56" spans="1:8" ht="17" x14ac:dyDescent="0.2">
      <c r="A56" s="1">
        <v>30056753</v>
      </c>
      <c r="B56" t="s">
        <v>13</v>
      </c>
      <c r="C56" s="3" t="s">
        <v>14</v>
      </c>
      <c r="D56" s="7">
        <v>45108</v>
      </c>
      <c r="E56" s="2">
        <v>-311</v>
      </c>
      <c r="F56" s="2">
        <v>77</v>
      </c>
      <c r="G56" s="5">
        <f t="shared" si="0"/>
        <v>11.8195</v>
      </c>
      <c r="H56" t="s">
        <v>25</v>
      </c>
    </row>
    <row r="57" spans="1:8" ht="17" x14ac:dyDescent="0.2">
      <c r="A57" s="1">
        <v>30056753</v>
      </c>
      <c r="B57" t="s">
        <v>13</v>
      </c>
      <c r="C57" s="3" t="s">
        <v>14</v>
      </c>
      <c r="D57" s="7">
        <v>45139</v>
      </c>
      <c r="E57" s="2">
        <v>-84</v>
      </c>
      <c r="F57" s="2">
        <v>161</v>
      </c>
      <c r="G57" s="5">
        <f t="shared" si="0"/>
        <v>24.7135</v>
      </c>
      <c r="H57" t="s">
        <v>25</v>
      </c>
    </row>
    <row r="58" spans="1:8" ht="17" x14ac:dyDescent="0.2">
      <c r="A58" s="1">
        <v>30056753</v>
      </c>
      <c r="B58" t="s">
        <v>13</v>
      </c>
      <c r="C58" s="3" t="s">
        <v>14</v>
      </c>
      <c r="D58" s="7">
        <v>45170</v>
      </c>
      <c r="E58" s="2">
        <v>-68</v>
      </c>
      <c r="F58" s="2">
        <v>229</v>
      </c>
      <c r="G58" s="5">
        <f t="shared" si="0"/>
        <v>35.151499999999999</v>
      </c>
      <c r="H58" t="s">
        <v>25</v>
      </c>
    </row>
    <row r="59" spans="1:8" ht="17" x14ac:dyDescent="0.2">
      <c r="A59" s="1">
        <v>30056753</v>
      </c>
      <c r="B59" t="s">
        <v>13</v>
      </c>
      <c r="C59" s="3" t="s">
        <v>14</v>
      </c>
      <c r="D59" s="7">
        <v>45200</v>
      </c>
      <c r="E59" s="2">
        <v>43</v>
      </c>
      <c r="F59" s="2">
        <v>186</v>
      </c>
      <c r="G59" s="5">
        <f t="shared" si="0"/>
        <v>28.550999999999998</v>
      </c>
      <c r="H59" t="s">
        <v>25</v>
      </c>
    </row>
    <row r="60" spans="1:8" ht="17" x14ac:dyDescent="0.2">
      <c r="A60" s="1">
        <v>30056753</v>
      </c>
      <c r="B60" t="s">
        <v>13</v>
      </c>
      <c r="C60" s="3" t="s">
        <v>14</v>
      </c>
      <c r="D60" s="7">
        <v>45231</v>
      </c>
      <c r="E60" s="2">
        <v>146</v>
      </c>
      <c r="F60" s="2">
        <v>40</v>
      </c>
      <c r="G60" s="5">
        <f t="shared" si="0"/>
        <v>6.14</v>
      </c>
      <c r="H60" t="s">
        <v>25</v>
      </c>
    </row>
    <row r="61" spans="1:8" ht="17" x14ac:dyDescent="0.2">
      <c r="A61" s="1">
        <v>30056753</v>
      </c>
      <c r="B61" t="s">
        <v>13</v>
      </c>
      <c r="C61" s="3" t="s">
        <v>14</v>
      </c>
      <c r="D61" s="7">
        <v>45261</v>
      </c>
      <c r="E61" s="2">
        <v>279</v>
      </c>
      <c r="F61" s="2">
        <v>-239</v>
      </c>
      <c r="G61" s="5">
        <f t="shared" si="0"/>
        <v>0</v>
      </c>
      <c r="H61" t="s">
        <v>25</v>
      </c>
    </row>
    <row r="62" spans="1:8" ht="17" x14ac:dyDescent="0.2">
      <c r="A62" s="1">
        <v>30405534</v>
      </c>
      <c r="B62" t="s">
        <v>15</v>
      </c>
      <c r="C62" s="3" t="s">
        <v>16</v>
      </c>
      <c r="D62" s="7">
        <v>44927</v>
      </c>
      <c r="E62" s="2">
        <v>656</v>
      </c>
      <c r="F62" s="2">
        <v>432</v>
      </c>
      <c r="G62" s="5">
        <f t="shared" si="0"/>
        <v>44.3232</v>
      </c>
      <c r="H62" t="s">
        <v>26</v>
      </c>
    </row>
    <row r="63" spans="1:8" ht="17" x14ac:dyDescent="0.2">
      <c r="A63" s="1">
        <v>30405534</v>
      </c>
      <c r="B63" t="s">
        <v>15</v>
      </c>
      <c r="C63" s="3" t="s">
        <v>16</v>
      </c>
      <c r="D63" s="7">
        <v>44958</v>
      </c>
      <c r="E63" s="2">
        <v>90</v>
      </c>
      <c r="F63" s="2">
        <v>-90</v>
      </c>
      <c r="G63" s="5">
        <f t="shared" si="0"/>
        <v>0</v>
      </c>
      <c r="H63" t="s">
        <v>26</v>
      </c>
    </row>
    <row r="64" spans="1:8" ht="17" x14ac:dyDescent="0.2">
      <c r="A64" s="1">
        <v>30405534</v>
      </c>
      <c r="B64" t="s">
        <v>15</v>
      </c>
      <c r="C64" s="3" t="s">
        <v>16</v>
      </c>
      <c r="D64" s="7">
        <v>44986</v>
      </c>
      <c r="E64" s="2">
        <v>-5</v>
      </c>
      <c r="F64" s="2">
        <v>-85</v>
      </c>
      <c r="G64" s="5">
        <f t="shared" si="0"/>
        <v>0</v>
      </c>
      <c r="H64" t="s">
        <v>26</v>
      </c>
    </row>
    <row r="65" spans="1:8" ht="17" x14ac:dyDescent="0.2">
      <c r="A65" s="1">
        <v>30405534</v>
      </c>
      <c r="B65" t="s">
        <v>15</v>
      </c>
      <c r="C65" s="3" t="s">
        <v>16</v>
      </c>
      <c r="D65" s="7">
        <v>45017</v>
      </c>
      <c r="E65" s="2">
        <v>-646</v>
      </c>
      <c r="F65" s="2">
        <v>561</v>
      </c>
      <c r="G65" s="5">
        <f t="shared" si="0"/>
        <v>57.558599999999998</v>
      </c>
      <c r="H65" t="s">
        <v>26</v>
      </c>
    </row>
    <row r="66" spans="1:8" ht="17" x14ac:dyDescent="0.2">
      <c r="A66" s="1">
        <v>30405534</v>
      </c>
      <c r="B66" t="s">
        <v>15</v>
      </c>
      <c r="C66" s="3" t="s">
        <v>16</v>
      </c>
      <c r="D66" s="7">
        <v>45047</v>
      </c>
      <c r="E66" s="2">
        <v>-714</v>
      </c>
      <c r="F66" s="2">
        <v>1275</v>
      </c>
      <c r="G66" s="5">
        <f t="shared" si="0"/>
        <v>130.815</v>
      </c>
      <c r="H66" t="s">
        <v>26</v>
      </c>
    </row>
    <row r="67" spans="1:8" ht="17" x14ac:dyDescent="0.2">
      <c r="A67" s="1">
        <v>30405534</v>
      </c>
      <c r="B67" t="s">
        <v>15</v>
      </c>
      <c r="C67" s="3" t="s">
        <v>16</v>
      </c>
      <c r="D67" s="7">
        <v>45078</v>
      </c>
      <c r="E67" s="2">
        <v>-800</v>
      </c>
      <c r="F67" s="2">
        <v>2075</v>
      </c>
      <c r="G67" s="5">
        <f t="shared" si="0"/>
        <v>212.89499999999998</v>
      </c>
      <c r="H67" t="s">
        <v>26</v>
      </c>
    </row>
    <row r="68" spans="1:8" ht="17" x14ac:dyDescent="0.2">
      <c r="A68" s="1">
        <v>30405534</v>
      </c>
      <c r="B68" t="s">
        <v>15</v>
      </c>
      <c r="C68" s="3" t="s">
        <v>16</v>
      </c>
      <c r="D68" s="7">
        <v>45108</v>
      </c>
      <c r="E68" s="2">
        <v>-916</v>
      </c>
      <c r="F68" s="2">
        <v>2991</v>
      </c>
      <c r="G68" s="5">
        <f t="shared" si="0"/>
        <v>459.11849999999998</v>
      </c>
      <c r="H68" t="s">
        <v>26</v>
      </c>
    </row>
    <row r="69" spans="1:8" ht="17" x14ac:dyDescent="0.2">
      <c r="A69" s="1">
        <v>30405534</v>
      </c>
      <c r="B69" t="s">
        <v>15</v>
      </c>
      <c r="C69" s="3" t="s">
        <v>16</v>
      </c>
      <c r="D69" s="7">
        <v>45139</v>
      </c>
      <c r="E69" s="2">
        <v>-577</v>
      </c>
      <c r="F69" s="2">
        <v>3568</v>
      </c>
      <c r="G69" s="5">
        <f t="shared" si="0"/>
        <v>547.68799999999999</v>
      </c>
      <c r="H69" t="s">
        <v>26</v>
      </c>
    </row>
    <row r="70" spans="1:8" ht="17" x14ac:dyDescent="0.2">
      <c r="A70" s="1">
        <v>30405534</v>
      </c>
      <c r="B70" t="s">
        <v>15</v>
      </c>
      <c r="C70" s="3" t="s">
        <v>16</v>
      </c>
      <c r="D70" s="7">
        <v>45170</v>
      </c>
      <c r="E70" s="2">
        <v>-511</v>
      </c>
      <c r="F70" s="2">
        <v>4079</v>
      </c>
      <c r="G70" s="5">
        <f t="shared" si="0"/>
        <v>626.12649999999996</v>
      </c>
      <c r="H70" t="s">
        <v>26</v>
      </c>
    </row>
    <row r="71" spans="1:8" ht="17" x14ac:dyDescent="0.2">
      <c r="A71" s="1">
        <v>30405534</v>
      </c>
      <c r="B71" t="s">
        <v>15</v>
      </c>
      <c r="C71" s="3" t="s">
        <v>16</v>
      </c>
      <c r="D71" s="7">
        <v>45200</v>
      </c>
      <c r="E71" s="2">
        <v>-228</v>
      </c>
      <c r="F71" s="2">
        <v>4307</v>
      </c>
      <c r="G71" s="5">
        <f t="shared" si="0"/>
        <v>661.12450000000001</v>
      </c>
      <c r="H71" t="s">
        <v>26</v>
      </c>
    </row>
    <row r="72" spans="1:8" ht="17" x14ac:dyDescent="0.2">
      <c r="A72" s="1">
        <v>30405534</v>
      </c>
      <c r="B72" t="s">
        <v>15</v>
      </c>
      <c r="C72" s="3" t="s">
        <v>16</v>
      </c>
      <c r="D72" s="7">
        <v>45231</v>
      </c>
      <c r="E72" s="2">
        <v>64</v>
      </c>
      <c r="F72" s="2">
        <v>4243</v>
      </c>
      <c r="G72" s="5">
        <f t="shared" si="0"/>
        <v>651.30049999999994</v>
      </c>
      <c r="H72" t="s">
        <v>26</v>
      </c>
    </row>
    <row r="73" spans="1:8" ht="17" x14ac:dyDescent="0.2">
      <c r="A73" s="1">
        <v>30405534</v>
      </c>
      <c r="B73" s="1" t="s">
        <v>15</v>
      </c>
      <c r="C73" s="3" t="s">
        <v>16</v>
      </c>
      <c r="D73" s="7">
        <v>45261</v>
      </c>
      <c r="E73" s="2">
        <v>384</v>
      </c>
      <c r="F73" s="2">
        <v>3859</v>
      </c>
      <c r="G73" s="5">
        <f t="shared" si="0"/>
        <v>592.35649999999998</v>
      </c>
      <c r="H73" t="s">
        <v>26</v>
      </c>
    </row>
    <row r="74" spans="1:8" x14ac:dyDescent="0.2">
      <c r="A74" s="1">
        <v>30405534</v>
      </c>
      <c r="B74" s="1" t="s">
        <v>15</v>
      </c>
      <c r="C74" s="1" t="s">
        <v>16</v>
      </c>
      <c r="D74" s="7">
        <v>45292</v>
      </c>
      <c r="E74" s="2">
        <v>375</v>
      </c>
      <c r="F74" s="2">
        <v>245</v>
      </c>
      <c r="G74" s="5">
        <f>IF(F74&lt;=0, 0, IF(MONTH(D74)&lt;=6, F74*0.1535, F74*0.1626))</f>
        <v>37.607500000000002</v>
      </c>
      <c r="H74" t="s">
        <v>26</v>
      </c>
    </row>
    <row r="75" spans="1:8" x14ac:dyDescent="0.2">
      <c r="A75" s="1">
        <v>30405534</v>
      </c>
      <c r="B75" s="1" t="s">
        <v>15</v>
      </c>
      <c r="C75" s="1" t="s">
        <v>16</v>
      </c>
      <c r="D75" s="7">
        <v>45323</v>
      </c>
      <c r="E75" s="2">
        <v>90</v>
      </c>
      <c r="F75" s="2">
        <v>-90</v>
      </c>
      <c r="G75" s="5">
        <f t="shared" ref="G75:G85" si="1">IF(F75&lt;=0, 0, IF(MONTH(D75)&lt;=6, F75*0.1535, F75*0.1626))</f>
        <v>0</v>
      </c>
      <c r="H75" t="s">
        <v>26</v>
      </c>
    </row>
    <row r="76" spans="1:8" x14ac:dyDescent="0.2">
      <c r="A76" s="1">
        <v>30405534</v>
      </c>
      <c r="B76" s="1" t="s">
        <v>15</v>
      </c>
      <c r="C76" s="1" t="s">
        <v>16</v>
      </c>
      <c r="D76" s="7">
        <v>45352</v>
      </c>
      <c r="E76" s="2">
        <v>-543</v>
      </c>
      <c r="F76" s="2">
        <v>453</v>
      </c>
      <c r="G76" s="5">
        <f t="shared" si="1"/>
        <v>69.535499999999999</v>
      </c>
      <c r="H76" t="s">
        <v>26</v>
      </c>
    </row>
    <row r="77" spans="1:8" x14ac:dyDescent="0.2">
      <c r="A77" s="1">
        <v>30405534</v>
      </c>
      <c r="B77" s="1" t="s">
        <v>15</v>
      </c>
      <c r="C77" s="1" t="s">
        <v>16</v>
      </c>
      <c r="D77" s="7">
        <v>45383</v>
      </c>
      <c r="E77" s="2">
        <v>-245</v>
      </c>
      <c r="F77" s="2">
        <v>698</v>
      </c>
      <c r="G77" s="5">
        <f t="shared" si="1"/>
        <v>107.143</v>
      </c>
      <c r="H77" t="s">
        <v>26</v>
      </c>
    </row>
    <row r="78" spans="1:8" x14ac:dyDescent="0.2">
      <c r="A78" s="1">
        <v>30405534</v>
      </c>
      <c r="B78" s="1" t="s">
        <v>15</v>
      </c>
      <c r="C78" s="1" t="s">
        <v>16</v>
      </c>
      <c r="D78" s="7">
        <v>45413</v>
      </c>
      <c r="E78" s="2">
        <v>234</v>
      </c>
      <c r="F78" s="2">
        <v>464</v>
      </c>
      <c r="G78" s="5">
        <f t="shared" si="1"/>
        <v>71.224000000000004</v>
      </c>
      <c r="H78" t="s">
        <v>26</v>
      </c>
    </row>
    <row r="79" spans="1:8" x14ac:dyDescent="0.2">
      <c r="A79" s="1">
        <v>30405534</v>
      </c>
      <c r="B79" s="1" t="s">
        <v>15</v>
      </c>
      <c r="C79" s="1" t="s">
        <v>16</v>
      </c>
      <c r="D79" s="7">
        <v>45444</v>
      </c>
      <c r="E79" s="2">
        <v>-542</v>
      </c>
      <c r="F79" s="2">
        <v>1006</v>
      </c>
      <c r="G79" s="5">
        <f t="shared" si="1"/>
        <v>154.42099999999999</v>
      </c>
      <c r="H79" t="s">
        <v>26</v>
      </c>
    </row>
    <row r="80" spans="1:8" x14ac:dyDescent="0.2">
      <c r="A80" s="1">
        <v>30405534</v>
      </c>
      <c r="B80" s="1" t="s">
        <v>15</v>
      </c>
      <c r="C80" s="1" t="s">
        <v>16</v>
      </c>
      <c r="D80" s="7">
        <v>45474</v>
      </c>
      <c r="E80" s="2">
        <v>-356</v>
      </c>
      <c r="F80" s="2">
        <v>1362</v>
      </c>
      <c r="G80" s="5">
        <f t="shared" si="1"/>
        <v>221.46119999999999</v>
      </c>
      <c r="H80" t="s">
        <v>26</v>
      </c>
    </row>
    <row r="81" spans="1:8" x14ac:dyDescent="0.2">
      <c r="A81" s="1">
        <v>30405534</v>
      </c>
      <c r="B81" s="1" t="s">
        <v>15</v>
      </c>
      <c r="C81" s="1" t="s">
        <v>16</v>
      </c>
      <c r="D81" s="7">
        <v>45505</v>
      </c>
      <c r="E81" s="2">
        <v>124</v>
      </c>
      <c r="F81" s="2">
        <v>1238</v>
      </c>
      <c r="G81" s="5">
        <f t="shared" si="1"/>
        <v>201.2988</v>
      </c>
      <c r="H81" t="s">
        <v>26</v>
      </c>
    </row>
    <row r="82" spans="1:8" x14ac:dyDescent="0.2">
      <c r="A82" s="1">
        <v>30405534</v>
      </c>
      <c r="B82" s="1" t="s">
        <v>15</v>
      </c>
      <c r="C82" s="1" t="s">
        <v>16</v>
      </c>
      <c r="D82" s="7">
        <v>45536</v>
      </c>
      <c r="E82" s="2">
        <v>-245</v>
      </c>
      <c r="F82" s="2">
        <v>1483</v>
      </c>
      <c r="G82" s="5">
        <f t="shared" si="1"/>
        <v>241.13579999999999</v>
      </c>
      <c r="H82" t="s">
        <v>26</v>
      </c>
    </row>
    <row r="83" spans="1:8" x14ac:dyDescent="0.2">
      <c r="A83" s="1">
        <v>30405534</v>
      </c>
      <c r="B83" s="1" t="s">
        <v>15</v>
      </c>
      <c r="C83" s="1" t="s">
        <v>16</v>
      </c>
      <c r="D83" s="7">
        <v>45566</v>
      </c>
      <c r="E83" s="2">
        <v>-564</v>
      </c>
      <c r="F83" s="2">
        <v>2047</v>
      </c>
      <c r="G83" s="5">
        <f t="shared" si="1"/>
        <v>332.84219999999999</v>
      </c>
      <c r="H83" t="s">
        <v>26</v>
      </c>
    </row>
    <row r="84" spans="1:8" x14ac:dyDescent="0.2">
      <c r="A84" s="1">
        <v>30405534</v>
      </c>
      <c r="B84" s="1" t="s">
        <v>15</v>
      </c>
      <c r="C84" s="1" t="s">
        <v>16</v>
      </c>
      <c r="D84" s="7">
        <v>45597</v>
      </c>
      <c r="E84" s="2">
        <v>124</v>
      </c>
      <c r="F84" s="2">
        <v>1923</v>
      </c>
      <c r="G84" s="5">
        <f t="shared" si="1"/>
        <v>312.6798</v>
      </c>
      <c r="H84" t="s">
        <v>26</v>
      </c>
    </row>
    <row r="85" spans="1:8" x14ac:dyDescent="0.2">
      <c r="A85" s="1">
        <v>30405534</v>
      </c>
      <c r="B85" s="1" t="s">
        <v>15</v>
      </c>
      <c r="C85" s="1" t="s">
        <v>16</v>
      </c>
      <c r="D85" s="7">
        <v>45627</v>
      </c>
      <c r="E85" s="2">
        <v>532</v>
      </c>
      <c r="F85" s="2">
        <v>1391</v>
      </c>
      <c r="G85" s="5">
        <f t="shared" si="1"/>
        <v>226.17659999999998</v>
      </c>
      <c r="H85" t="s">
        <v>26</v>
      </c>
    </row>
    <row r="86" spans="1:8" ht="17" x14ac:dyDescent="0.2">
      <c r="A86" s="1">
        <v>30056753</v>
      </c>
      <c r="B86" t="s">
        <v>13</v>
      </c>
      <c r="C86" s="3" t="s">
        <v>14</v>
      </c>
      <c r="D86" s="7">
        <v>44562</v>
      </c>
      <c r="E86" s="2">
        <v>254</v>
      </c>
      <c r="F86" s="2">
        <v>-254</v>
      </c>
      <c r="G86" s="5">
        <f>IF(F86&lt;=0, 0, IF(MONTH(D86)&lt;=6, F86*0.0985, F86*0.1026))</f>
        <v>0</v>
      </c>
      <c r="H86" t="s">
        <v>25</v>
      </c>
    </row>
    <row r="87" spans="1:8" ht="17" x14ac:dyDescent="0.2">
      <c r="A87" s="1">
        <v>30056753</v>
      </c>
      <c r="B87" t="s">
        <v>13</v>
      </c>
      <c r="C87" s="3" t="s">
        <v>14</v>
      </c>
      <c r="D87" s="7">
        <v>44593</v>
      </c>
      <c r="E87" s="2">
        <v>150</v>
      </c>
      <c r="F87" s="2">
        <v>-404</v>
      </c>
      <c r="G87" s="5">
        <f t="shared" ref="G87:G97" si="2">IF(F87&lt;=0, 0, IF(MONTH(D87)&lt;=6, F87*0.0985, F87*0.1026))</f>
        <v>0</v>
      </c>
      <c r="H87" t="s">
        <v>25</v>
      </c>
    </row>
    <row r="88" spans="1:8" ht="17" x14ac:dyDescent="0.2">
      <c r="A88" s="1">
        <v>30056753</v>
      </c>
      <c r="B88" t="s">
        <v>13</v>
      </c>
      <c r="C88" s="3" t="s">
        <v>14</v>
      </c>
      <c r="D88" s="7">
        <v>44621</v>
      </c>
      <c r="E88" s="2">
        <v>342</v>
      </c>
      <c r="F88" s="2">
        <v>-746</v>
      </c>
      <c r="G88" s="5">
        <f t="shared" si="2"/>
        <v>0</v>
      </c>
      <c r="H88" t="s">
        <v>25</v>
      </c>
    </row>
    <row r="89" spans="1:8" ht="17" x14ac:dyDescent="0.2">
      <c r="A89" s="1">
        <v>30056753</v>
      </c>
      <c r="B89" t="s">
        <v>13</v>
      </c>
      <c r="C89" s="3" t="s">
        <v>14</v>
      </c>
      <c r="D89" s="7">
        <v>44652</v>
      </c>
      <c r="E89" s="2">
        <v>-423</v>
      </c>
      <c r="F89" s="2">
        <v>-323</v>
      </c>
      <c r="G89" s="5">
        <f t="shared" si="2"/>
        <v>0</v>
      </c>
      <c r="H89" t="s">
        <v>25</v>
      </c>
    </row>
    <row r="90" spans="1:8" ht="17" x14ac:dyDescent="0.2">
      <c r="A90" s="1">
        <v>30056753</v>
      </c>
      <c r="B90" t="s">
        <v>13</v>
      </c>
      <c r="C90" s="3" t="s">
        <v>14</v>
      </c>
      <c r="D90" s="7">
        <v>44682</v>
      </c>
      <c r="E90" s="2">
        <v>-243</v>
      </c>
      <c r="F90" s="2">
        <v>-80</v>
      </c>
      <c r="G90" s="5">
        <f t="shared" si="2"/>
        <v>0</v>
      </c>
      <c r="H90" t="s">
        <v>25</v>
      </c>
    </row>
    <row r="91" spans="1:8" ht="17" x14ac:dyDescent="0.2">
      <c r="A91" s="1">
        <v>30056753</v>
      </c>
      <c r="B91" t="s">
        <v>13</v>
      </c>
      <c r="C91" s="3" t="s">
        <v>14</v>
      </c>
      <c r="D91" s="7">
        <v>44713</v>
      </c>
      <c r="E91" s="2">
        <v>-123</v>
      </c>
      <c r="F91" s="2">
        <v>43</v>
      </c>
      <c r="G91" s="5">
        <f t="shared" si="2"/>
        <v>4.2355</v>
      </c>
      <c r="H91" t="s">
        <v>25</v>
      </c>
    </row>
    <row r="92" spans="1:8" ht="17" x14ac:dyDescent="0.2">
      <c r="A92" s="1">
        <v>30056753</v>
      </c>
      <c r="B92" t="s">
        <v>13</v>
      </c>
      <c r="C92" s="3" t="s">
        <v>14</v>
      </c>
      <c r="D92" s="7">
        <v>44743</v>
      </c>
      <c r="E92" s="2">
        <v>-413</v>
      </c>
      <c r="F92" s="2">
        <v>456</v>
      </c>
      <c r="G92" s="5">
        <f t="shared" si="2"/>
        <v>46.785599999999995</v>
      </c>
      <c r="H92" t="s">
        <v>25</v>
      </c>
    </row>
    <row r="93" spans="1:8" ht="17" x14ac:dyDescent="0.2">
      <c r="A93" s="1">
        <v>30056753</v>
      </c>
      <c r="B93" t="s">
        <v>13</v>
      </c>
      <c r="C93" s="3" t="s">
        <v>14</v>
      </c>
      <c r="D93" s="7">
        <v>44774</v>
      </c>
      <c r="E93" s="2">
        <v>84</v>
      </c>
      <c r="F93" s="2">
        <v>372</v>
      </c>
      <c r="G93" s="5">
        <f t="shared" si="2"/>
        <v>38.167200000000001</v>
      </c>
      <c r="H93" t="s">
        <v>25</v>
      </c>
    </row>
    <row r="94" spans="1:8" ht="17" x14ac:dyDescent="0.2">
      <c r="A94" s="1">
        <v>30056753</v>
      </c>
      <c r="B94" t="s">
        <v>13</v>
      </c>
      <c r="C94" s="3" t="s">
        <v>14</v>
      </c>
      <c r="D94" s="7">
        <v>44805</v>
      </c>
      <c r="E94" s="2">
        <v>-73</v>
      </c>
      <c r="F94" s="2">
        <v>445</v>
      </c>
      <c r="G94" s="5">
        <f t="shared" si="2"/>
        <v>45.656999999999996</v>
      </c>
      <c r="H94" t="s">
        <v>25</v>
      </c>
    </row>
    <row r="95" spans="1:8" ht="17" x14ac:dyDescent="0.2">
      <c r="A95" s="1">
        <v>30056753</v>
      </c>
      <c r="B95" t="s">
        <v>13</v>
      </c>
      <c r="C95" s="3" t="s">
        <v>14</v>
      </c>
      <c r="D95" s="7">
        <v>44835</v>
      </c>
      <c r="E95" s="2">
        <v>94</v>
      </c>
      <c r="F95" s="2">
        <v>351</v>
      </c>
      <c r="G95" s="5">
        <f t="shared" si="2"/>
        <v>36.012599999999999</v>
      </c>
      <c r="H95" t="s">
        <v>25</v>
      </c>
    </row>
    <row r="96" spans="1:8" ht="17" x14ac:dyDescent="0.2">
      <c r="A96" s="1">
        <v>30056753</v>
      </c>
      <c r="B96" t="s">
        <v>13</v>
      </c>
      <c r="C96" s="3" t="s">
        <v>14</v>
      </c>
      <c r="D96" s="7">
        <v>44866</v>
      </c>
      <c r="E96" s="2">
        <v>126</v>
      </c>
      <c r="F96" s="2">
        <v>225</v>
      </c>
      <c r="G96" s="5">
        <f t="shared" si="2"/>
        <v>23.085000000000001</v>
      </c>
      <c r="H96" t="s">
        <v>25</v>
      </c>
    </row>
    <row r="97" spans="1:8" ht="17" x14ac:dyDescent="0.2">
      <c r="A97" s="1">
        <v>30056753</v>
      </c>
      <c r="B97" t="s">
        <v>13</v>
      </c>
      <c r="C97" s="3" t="s">
        <v>14</v>
      </c>
      <c r="D97" s="7">
        <v>44896</v>
      </c>
      <c r="E97" s="2">
        <v>364</v>
      </c>
      <c r="F97" s="2">
        <v>-139</v>
      </c>
      <c r="G97" s="5">
        <f t="shared" si="2"/>
        <v>0</v>
      </c>
      <c r="H97" t="s">
        <v>25</v>
      </c>
    </row>
  </sheetData>
  <autoFilter ref="D1:D97" xr:uid="{3B4B3C46-A6F2-8243-866F-1F4FEC5101CA}"/>
  <phoneticPr fontId="1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Manne</dc:creator>
  <cp:lastModifiedBy>Manne, Vijay</cp:lastModifiedBy>
  <dcterms:created xsi:type="dcterms:W3CDTF">2025-06-11T15:42:32Z</dcterms:created>
  <dcterms:modified xsi:type="dcterms:W3CDTF">2025-11-23T01:07:38Z</dcterms:modified>
</cp:coreProperties>
</file>